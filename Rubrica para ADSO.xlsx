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rnan\Downloads\"/>
    </mc:Choice>
  </mc:AlternateContent>
  <xr:revisionPtr revIDLastSave="0" documentId="13_ncr:1_{65A133CB-D5AC-40F4-A657-509EF7A93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brica SENA" sheetId="1" r:id="rId1"/>
    <sheet name="Propuesta ADSO" sheetId="2" r:id="rId2"/>
  </sheets>
  <definedNames>
    <definedName name="_xlnm.Print_Area" localSheetId="0">'Rubrica SENA'!$A$1:$G$49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C37" i="1"/>
  <c r="D36" i="1"/>
  <c r="D37" i="1"/>
  <c r="E37" i="1"/>
  <c r="F37" i="1"/>
  <c r="E36" i="1"/>
  <c r="F36" i="1"/>
  <c r="C36" i="1"/>
  <c r="C38" i="1" l="1"/>
</calcChain>
</file>

<file path=xl/sharedStrings.xml><?xml version="1.0" encoding="utf-8"?>
<sst xmlns="http://schemas.openxmlformats.org/spreadsheetml/2006/main" count="70" uniqueCount="64">
  <si>
    <t>INNOVACIÓN</t>
  </si>
  <si>
    <t>ACTITUDINAL</t>
  </si>
  <si>
    <t>TÉCNICO</t>
  </si>
  <si>
    <t>MANEJO DEL TIEMPO</t>
  </si>
  <si>
    <t>CALIDAD DEL TRABAJO ESCRITO</t>
  </si>
  <si>
    <t>DOMINIO TEMA</t>
  </si>
  <si>
    <t>CALIFICACIÓN</t>
  </si>
  <si>
    <t>SERVICIO NACIONAL DE APRENDIZAJE SENA</t>
  </si>
  <si>
    <t>REGIONAL QUINDÍO</t>
  </si>
  <si>
    <t>CRITERIOS</t>
  </si>
  <si>
    <t>__________________________                                                                        __________________________________</t>
  </si>
  <si>
    <t>La propuesta cumple con los objetivos del proyecto?</t>
  </si>
  <si>
    <t xml:space="preserve">CENTRO DE COMERCIO Y TURISMO </t>
  </si>
  <si>
    <t>Las competencias se ven reflejadas en el trabajo presentado?</t>
  </si>
  <si>
    <t>Nombre del proyecto:</t>
  </si>
  <si>
    <t>Ficha:</t>
  </si>
  <si>
    <t xml:space="preserve">CRITERIO DE EVALUACIÓN PROYECTOS FORMATIVOS </t>
  </si>
  <si>
    <t>NOTA: Calificación final (promedio):</t>
  </si>
  <si>
    <t xml:space="preserve"> </t>
  </si>
  <si>
    <t>Jurado 2</t>
  </si>
  <si>
    <t>Jurado 1</t>
  </si>
  <si>
    <t>Jurado 3</t>
  </si>
  <si>
    <t>Jurado 4</t>
  </si>
  <si>
    <t>Contestan fácilmente las preguntas sobre el contenido?</t>
  </si>
  <si>
    <t>Presentan la información de manera organizada y en secuencia lógica y coherente?</t>
  </si>
  <si>
    <t>PROMEDIO DE CALIFICACIÓN  DEL PROYECTO</t>
  </si>
  <si>
    <t xml:space="preserve">    Nombre del jurado  1                                                                                                  Nombre del jurado  2      </t>
  </si>
  <si>
    <t>CALIFICACIÓN - PROYECTOS FORMATIVOS</t>
  </si>
  <si>
    <t>De 1 a 2,9 = Bajo                                                      De 3 a 3,9 = Medio</t>
  </si>
  <si>
    <t>De 4 a 4,9 = Alto                                                      La nota 5 = Superior</t>
  </si>
  <si>
    <t>SUMA FINAL</t>
  </si>
  <si>
    <t>PROMEDIO JURADO</t>
  </si>
  <si>
    <t>Las conclusiones y recomendaciones, están acorde con la problemática presentada?</t>
  </si>
  <si>
    <t>Nivel de innovación  de la propuesta (mejora de procesos, procedimientos, uso de nuevos materiales, mejora de los productos existentes o presenta nuevos productos etc.).</t>
  </si>
  <si>
    <t>Aplicación de las normas APA, ortográficas y  redacción?</t>
  </si>
  <si>
    <t>Presentación de la bibliográfica.</t>
  </si>
  <si>
    <t>Nivel de satisfacción que puede tener la empresa con el proyecto.</t>
  </si>
  <si>
    <t>Postura, interés y contacto visual con su auditorio?</t>
  </si>
  <si>
    <t>Manejo del espacio, la pronunciación, la expresión corporal, el tono de voz y vocalización?</t>
  </si>
  <si>
    <t>Interés para lograr que el tema sea entendible.</t>
  </si>
  <si>
    <t>Dominio del tema (no se limita a leer la presentación)?</t>
  </si>
  <si>
    <t>Utilizan ejemplos, gráficos y tablas para explicar los temas?</t>
  </si>
  <si>
    <t>Se evidencia el desarrollo de habilidades,  destrezas y conocimientos técnicos?</t>
  </si>
  <si>
    <t xml:space="preserve">El uso del tiempo asignado para la presentación del proyecto fue adecuado. </t>
  </si>
  <si>
    <t>La redacción de los procesos corresponde a la realidad de los mismos.</t>
  </si>
  <si>
    <t>La construcción de los objetivos es correcta.</t>
  </si>
  <si>
    <t>Califique los siguientes puntos entre 1 y 5, siendo 1 el desempeño básico y 5 sobresaliente.</t>
  </si>
  <si>
    <t xml:space="preserve">    Nombre del jurado    3                                                                                               Nombre del jurado    4</t>
  </si>
  <si>
    <r>
      <rPr>
        <b/>
        <sz val="14"/>
        <color theme="1"/>
        <rFont val="Calibri"/>
        <family val="2"/>
        <scheme val="minor"/>
      </rPr>
      <t>Fecha de presentación:</t>
    </r>
    <r>
      <rPr>
        <sz val="14"/>
        <color theme="1"/>
        <rFont val="Calibri"/>
        <family val="2"/>
        <scheme val="minor"/>
      </rPr>
      <t xml:space="preserve">                          </t>
    </r>
  </si>
  <si>
    <t>Capacidad de análisis: dominio temático, capacidad de respuesta, análisis situacional</t>
  </si>
  <si>
    <t>Resultados logrado: impacto, conclusiones y recomendaciones</t>
  </si>
  <si>
    <t>Apropiación del conocimiento: propuestas de mejora, aplicación del contenido teórico a la realidad de la empresa  y/o contexto</t>
  </si>
  <si>
    <t>Presentación e introducción: presentación personal y del stand, descripción general de la empresa y/o problemática, diagnóstico situacional</t>
  </si>
  <si>
    <t>Aspectos a resaltar, a mejorar y recomendaciones para cada indicador</t>
  </si>
  <si>
    <t>Sub-totales</t>
  </si>
  <si>
    <t>No lo logra o 
lo logra 
insuficientemente
(0,0 -1,9)</t>
  </si>
  <si>
    <t>Lo logra deficientemente
(2,0 - 2,9)</t>
  </si>
  <si>
    <t>Lo logra  aceptablemente 
(3,0 - 3,9)</t>
  </si>
  <si>
    <t>Lo logra satisfactoriamente (4,0 - 5,0)</t>
  </si>
  <si>
    <t xml:space="preserve">OBSERVACIONES </t>
  </si>
  <si>
    <t>Calificación</t>
  </si>
  <si>
    <t xml:space="preserve"> NIVELES DE DESEMPEÑO</t>
  </si>
  <si>
    <t>%</t>
  </si>
  <si>
    <t xml:space="preserve">INDICADORES DE RESULTADO DE APRENDIZAJE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</si>
</sst>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_-;\-* #,##0.00_-;_-* &quot;-&quot;??_-;_-@"/>
    <numFmt numFmtId="166" formatCode="dd&quot; DE &quot;mmmm&quot; DE &quot;yyyy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9"/>
      <color theme="2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0" xfId="0" applyFont="1"/>
    <xf numFmtId="0" fontId="5" fillId="0" borderId="0" xfId="0" applyFont="1"/>
    <xf numFmtId="0" fontId="11" fillId="0" borderId="0" xfId="0" applyFont="1"/>
    <xf numFmtId="0" fontId="12" fillId="0" borderId="2" xfId="0" applyFont="1" applyBorder="1" applyAlignment="1">
      <alignment vertical="center" wrapText="1"/>
    </xf>
    <xf numFmtId="0" fontId="13" fillId="0" borderId="1" xfId="0" applyFont="1" applyBorder="1"/>
    <xf numFmtId="0" fontId="14" fillId="0" borderId="2" xfId="0" applyFont="1" applyBorder="1"/>
    <xf numFmtId="0" fontId="14" fillId="0" borderId="5" xfId="0" applyFont="1" applyBorder="1"/>
    <xf numFmtId="0" fontId="14" fillId="0" borderId="6" xfId="0" applyFont="1" applyBorder="1"/>
    <xf numFmtId="0" fontId="13" fillId="0" borderId="1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4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vertical="center" wrapText="1"/>
    </xf>
    <xf numFmtId="0" fontId="13" fillId="0" borderId="0" xfId="0" applyFont="1"/>
    <xf numFmtId="0" fontId="12" fillId="0" borderId="0" xfId="0" applyFont="1"/>
    <xf numFmtId="164" fontId="15" fillId="0" borderId="9" xfId="0" applyNumberFormat="1" applyFont="1" applyBorder="1" applyAlignment="1">
      <alignment horizontal="right" vertical="top" wrapText="1"/>
    </xf>
    <xf numFmtId="164" fontId="15" fillId="0" borderId="10" xfId="0" applyNumberFormat="1" applyFont="1" applyBorder="1" applyAlignment="1">
      <alignment horizontal="right" vertical="top" wrapText="1"/>
    </xf>
    <xf numFmtId="164" fontId="15" fillId="0" borderId="3" xfId="0" applyNumberFormat="1" applyFont="1" applyBorder="1" applyAlignment="1">
      <alignment horizontal="right" vertical="top" wrapText="1"/>
    </xf>
    <xf numFmtId="2" fontId="15" fillId="0" borderId="0" xfId="0" applyNumberFormat="1" applyFont="1" applyAlignment="1">
      <alignment horizontal="right" vertical="top" wrapText="1"/>
    </xf>
    <xf numFmtId="2" fontId="16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65" fontId="17" fillId="2" borderId="14" xfId="0" applyNumberFormat="1" applyFont="1" applyFill="1" applyBorder="1" applyAlignment="1">
      <alignment horizontal="center" vertical="center" wrapText="1"/>
    </xf>
    <xf numFmtId="0" fontId="18" fillId="0" borderId="15" xfId="0" applyFont="1" applyBorder="1"/>
    <xf numFmtId="0" fontId="18" fillId="0" borderId="16" xfId="0" applyFont="1" applyBorder="1"/>
    <xf numFmtId="0" fontId="19" fillId="0" borderId="14" xfId="0" applyFont="1" applyBorder="1" applyAlignment="1">
      <alignment horizontal="left" vertical="top" wrapText="1"/>
    </xf>
    <xf numFmtId="164" fontId="20" fillId="3" borderId="14" xfId="0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9" fontId="21" fillId="3" borderId="14" xfId="0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0" fontId="21" fillId="3" borderId="14" xfId="0" applyFont="1" applyFill="1" applyBorder="1" applyAlignment="1">
      <alignment horizontal="left" vertical="center" wrapText="1"/>
    </xf>
    <xf numFmtId="0" fontId="21" fillId="3" borderId="17" xfId="0" applyFont="1" applyFill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4" fillId="5" borderId="17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center" vertical="center" wrapText="1"/>
    </xf>
    <xf numFmtId="0" fontId="18" fillId="0" borderId="18" xfId="0" applyFont="1" applyBorder="1"/>
    <xf numFmtId="0" fontId="18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18" fillId="0" borderId="0" xfId="0" applyFont="1"/>
    <xf numFmtId="166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18" fillId="0" borderId="20" xfId="0" applyFont="1" applyBorder="1"/>
    <xf numFmtId="0" fontId="18" fillId="0" borderId="21" xfId="0" applyFont="1" applyBorder="1"/>
    <xf numFmtId="0" fontId="26" fillId="0" borderId="22" xfId="0" applyFont="1" applyBorder="1" applyAlignment="1">
      <alignment horizontal="center" vertical="center" wrapText="1"/>
    </xf>
    <xf numFmtId="0" fontId="18" fillId="0" borderId="23" xfId="0" applyFont="1" applyBorder="1"/>
    <xf numFmtId="0" fontId="18" fillId="0" borderId="24" xfId="0" applyFont="1" applyBorder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0</xdr:row>
      <xdr:rowOff>167640</xdr:rowOff>
    </xdr:from>
    <xdr:to>
      <xdr:col>1</xdr:col>
      <xdr:colOff>1097280</xdr:colOff>
      <xdr:row>5</xdr:row>
      <xdr:rowOff>236220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67640"/>
          <a:ext cx="102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8"/>
  <sheetViews>
    <sheetView showGridLines="0" tabSelected="1" zoomScale="110" zoomScaleNormal="110" workbookViewId="0">
      <selection activeCell="B22" sqref="B22"/>
    </sheetView>
  </sheetViews>
  <sheetFormatPr baseColWidth="10" defaultRowHeight="15" x14ac:dyDescent="0.25"/>
  <cols>
    <col min="1" max="1" width="7" customWidth="1"/>
    <col min="2" max="2" width="70.5703125" customWidth="1"/>
    <col min="3" max="3" width="13.140625" customWidth="1"/>
    <col min="7" max="7" width="2.7109375" customWidth="1"/>
  </cols>
  <sheetData>
    <row r="1" spans="2:6" x14ac:dyDescent="0.25">
      <c r="B1" s="28"/>
      <c r="C1" s="28"/>
      <c r="D1" s="28"/>
      <c r="E1" s="28"/>
      <c r="F1" s="28"/>
    </row>
    <row r="2" spans="2:6" ht="18.75" x14ac:dyDescent="0.25">
      <c r="B2" s="29" t="s">
        <v>7</v>
      </c>
      <c r="C2" s="29"/>
      <c r="D2" s="29"/>
      <c r="E2" s="29"/>
    </row>
    <row r="3" spans="2:6" x14ac:dyDescent="0.25">
      <c r="B3" s="30" t="s">
        <v>12</v>
      </c>
      <c r="C3" s="30"/>
      <c r="D3" s="30"/>
      <c r="E3" s="30"/>
    </row>
    <row r="4" spans="2:6" x14ac:dyDescent="0.25">
      <c r="B4" s="30" t="s">
        <v>8</v>
      </c>
      <c r="C4" s="30"/>
      <c r="D4" s="30"/>
      <c r="E4" s="30"/>
    </row>
    <row r="5" spans="2:6" x14ac:dyDescent="0.25">
      <c r="B5" s="32"/>
      <c r="C5" s="32"/>
      <c r="D5" s="32"/>
      <c r="E5" s="32"/>
      <c r="F5" t="s">
        <v>18</v>
      </c>
    </row>
    <row r="6" spans="2:6" ht="31.9" customHeight="1" thickBot="1" x14ac:dyDescent="0.3">
      <c r="B6" s="31" t="s">
        <v>27</v>
      </c>
      <c r="C6" s="31"/>
      <c r="D6" s="31"/>
      <c r="E6" s="31"/>
    </row>
    <row r="7" spans="2:6" ht="36.6" customHeight="1" thickBot="1" x14ac:dyDescent="0.3">
      <c r="B7" s="33" t="s">
        <v>14</v>
      </c>
      <c r="C7" s="35"/>
      <c r="D7" s="34"/>
      <c r="E7" s="33" t="s">
        <v>15</v>
      </c>
      <c r="F7" s="34"/>
    </row>
    <row r="8" spans="2:6" ht="14.25" customHeight="1" x14ac:dyDescent="0.25">
      <c r="B8" s="39" t="s">
        <v>18</v>
      </c>
      <c r="C8" s="40"/>
      <c r="D8" s="40"/>
      <c r="E8" s="40"/>
      <c r="F8" s="40"/>
    </row>
    <row r="9" spans="2:6" ht="15.75" x14ac:dyDescent="0.25">
      <c r="B9" s="41" t="s">
        <v>16</v>
      </c>
      <c r="C9" s="41"/>
      <c r="D9" s="41"/>
      <c r="E9" s="41"/>
      <c r="F9" s="41"/>
    </row>
    <row r="10" spans="2:6" ht="35.25" customHeight="1" x14ac:dyDescent="0.25">
      <c r="B10" s="8" t="s">
        <v>46</v>
      </c>
      <c r="C10" s="4" t="s">
        <v>20</v>
      </c>
      <c r="D10" s="4" t="s">
        <v>19</v>
      </c>
      <c r="E10" s="4" t="s">
        <v>21</v>
      </c>
      <c r="F10" s="4" t="s">
        <v>22</v>
      </c>
    </row>
    <row r="11" spans="2:6" x14ac:dyDescent="0.25">
      <c r="B11" s="3" t="s">
        <v>9</v>
      </c>
      <c r="C11" s="5" t="s">
        <v>6</v>
      </c>
      <c r="D11" s="5" t="s">
        <v>6</v>
      </c>
      <c r="E11" s="5" t="s">
        <v>6</v>
      </c>
      <c r="F11" s="5" t="s">
        <v>6</v>
      </c>
    </row>
    <row r="12" spans="2:6" x14ac:dyDescent="0.25">
      <c r="B12" s="45" t="s">
        <v>1</v>
      </c>
      <c r="C12" s="46"/>
      <c r="D12" s="46"/>
      <c r="E12" s="46"/>
      <c r="F12" s="47"/>
    </row>
    <row r="13" spans="2:6" ht="34.9" customHeight="1" x14ac:dyDescent="0.25">
      <c r="B13" s="12" t="s">
        <v>39</v>
      </c>
      <c r="C13" s="13"/>
      <c r="D13" s="13"/>
      <c r="E13" s="13"/>
      <c r="F13" s="13"/>
    </row>
    <row r="14" spans="2:6" ht="34.9" customHeight="1" x14ac:dyDescent="0.25">
      <c r="B14" s="12" t="s">
        <v>37</v>
      </c>
      <c r="C14" s="13"/>
      <c r="D14" s="13"/>
      <c r="E14" s="13"/>
      <c r="F14" s="13"/>
    </row>
    <row r="15" spans="2:6" ht="34.9" customHeight="1" x14ac:dyDescent="0.25">
      <c r="B15" s="12" t="s">
        <v>38</v>
      </c>
      <c r="C15" s="13"/>
      <c r="D15" s="13"/>
      <c r="E15" s="13"/>
      <c r="F15" s="13"/>
    </row>
    <row r="16" spans="2:6" x14ac:dyDescent="0.25">
      <c r="B16" s="14" t="s">
        <v>5</v>
      </c>
      <c r="C16" s="15"/>
      <c r="D16" s="15"/>
      <c r="E16" s="15"/>
      <c r="F16" s="16"/>
    </row>
    <row r="17" spans="2:6" ht="21" customHeight="1" x14ac:dyDescent="0.25">
      <c r="B17" s="12" t="s">
        <v>40</v>
      </c>
      <c r="C17" s="13"/>
      <c r="D17" s="13"/>
      <c r="E17" s="13"/>
      <c r="F17" s="13"/>
    </row>
    <row r="18" spans="2:6" ht="21" customHeight="1" x14ac:dyDescent="0.25">
      <c r="B18" s="12" t="s">
        <v>41</v>
      </c>
      <c r="C18" s="13"/>
      <c r="D18" s="13"/>
      <c r="E18" s="13"/>
      <c r="F18" s="13"/>
    </row>
    <row r="19" spans="2:6" ht="21" customHeight="1" x14ac:dyDescent="0.25">
      <c r="B19" s="12" t="s">
        <v>23</v>
      </c>
      <c r="C19" s="13"/>
      <c r="D19" s="13"/>
      <c r="E19" s="13"/>
      <c r="F19" s="13"/>
    </row>
    <row r="20" spans="2:6" ht="27.75" customHeight="1" x14ac:dyDescent="0.25">
      <c r="B20" s="12" t="s">
        <v>24</v>
      </c>
      <c r="C20" s="13"/>
      <c r="D20" s="13"/>
      <c r="E20" s="13"/>
      <c r="F20" s="13"/>
    </row>
    <row r="21" spans="2:6" x14ac:dyDescent="0.25">
      <c r="B21" s="36" t="s">
        <v>2</v>
      </c>
      <c r="C21" s="37"/>
      <c r="D21" s="37"/>
      <c r="E21" s="37"/>
      <c r="F21" s="38"/>
    </row>
    <row r="22" spans="2:6" ht="25.15" customHeight="1" x14ac:dyDescent="0.25">
      <c r="B22" s="12" t="s">
        <v>13</v>
      </c>
      <c r="C22" s="13"/>
      <c r="D22" s="13"/>
      <c r="E22" s="13"/>
      <c r="F22" s="13"/>
    </row>
    <row r="23" spans="2:6" ht="25.15" customHeight="1" x14ac:dyDescent="0.25">
      <c r="B23" s="12" t="s">
        <v>11</v>
      </c>
      <c r="C23" s="13"/>
      <c r="D23" s="13"/>
      <c r="E23" s="13"/>
      <c r="F23" s="13"/>
    </row>
    <row r="24" spans="2:6" ht="33" customHeight="1" x14ac:dyDescent="0.25">
      <c r="B24" s="12" t="s">
        <v>42</v>
      </c>
      <c r="C24" s="13"/>
      <c r="D24" s="13"/>
      <c r="E24" s="13"/>
      <c r="F24" s="13"/>
    </row>
    <row r="25" spans="2:6" ht="35.450000000000003" customHeight="1" x14ac:dyDescent="0.25">
      <c r="B25" s="12" t="s">
        <v>32</v>
      </c>
      <c r="C25" s="13"/>
      <c r="D25" s="13"/>
      <c r="E25" s="13"/>
      <c r="F25" s="13"/>
    </row>
    <row r="26" spans="2:6" x14ac:dyDescent="0.25">
      <c r="B26" s="36" t="s">
        <v>0</v>
      </c>
      <c r="C26" s="37"/>
      <c r="D26" s="37"/>
      <c r="E26" s="37"/>
      <c r="F26" s="38"/>
    </row>
    <row r="27" spans="2:6" ht="48" customHeight="1" x14ac:dyDescent="0.25">
      <c r="B27" s="12" t="s">
        <v>33</v>
      </c>
      <c r="C27" s="13"/>
      <c r="D27" s="13"/>
      <c r="E27" s="13"/>
      <c r="F27" s="13"/>
    </row>
    <row r="28" spans="2:6" ht="30.6" customHeight="1" x14ac:dyDescent="0.25">
      <c r="B28" s="12" t="s">
        <v>36</v>
      </c>
      <c r="C28" s="13"/>
      <c r="D28" s="13"/>
      <c r="E28" s="13"/>
      <c r="F28" s="13"/>
    </row>
    <row r="29" spans="2:6" x14ac:dyDescent="0.25">
      <c r="B29" s="42" t="s">
        <v>3</v>
      </c>
      <c r="C29" s="43"/>
      <c r="D29" s="43"/>
      <c r="E29" s="43"/>
      <c r="F29" s="44"/>
    </row>
    <row r="30" spans="2:6" ht="26.45" customHeight="1" x14ac:dyDescent="0.25">
      <c r="B30" s="12" t="s">
        <v>43</v>
      </c>
      <c r="C30" s="13"/>
      <c r="D30" s="13"/>
      <c r="E30" s="13"/>
      <c r="F30" s="13"/>
    </row>
    <row r="31" spans="2:6" x14ac:dyDescent="0.25">
      <c r="B31" s="36" t="s">
        <v>4</v>
      </c>
      <c r="C31" s="37"/>
      <c r="D31" s="37"/>
      <c r="E31" s="37"/>
      <c r="F31" s="38"/>
    </row>
    <row r="32" spans="2:6" s="2" customFormat="1" ht="30.75" customHeight="1" x14ac:dyDescent="0.25">
      <c r="B32" s="12" t="s">
        <v>34</v>
      </c>
      <c r="C32" s="17"/>
      <c r="D32" s="17"/>
      <c r="E32" s="17"/>
      <c r="F32" s="17"/>
    </row>
    <row r="33" spans="2:8" s="2" customFormat="1" ht="30.75" customHeight="1" x14ac:dyDescent="0.25">
      <c r="B33" s="12" t="s">
        <v>45</v>
      </c>
      <c r="C33" s="17"/>
      <c r="D33" s="17"/>
      <c r="E33" s="17"/>
      <c r="F33" s="17"/>
    </row>
    <row r="34" spans="2:8" s="2" customFormat="1" ht="30.75" customHeight="1" x14ac:dyDescent="0.25">
      <c r="B34" s="12" t="s">
        <v>44</v>
      </c>
      <c r="C34" s="17"/>
      <c r="D34" s="17"/>
      <c r="E34" s="17"/>
      <c r="F34" s="17"/>
    </row>
    <row r="35" spans="2:8" s="2" customFormat="1" ht="28.5" customHeight="1" thickBot="1" x14ac:dyDescent="0.3">
      <c r="B35" s="12" t="s">
        <v>35</v>
      </c>
      <c r="C35" s="18"/>
      <c r="D35" s="18"/>
      <c r="E35" s="18"/>
      <c r="F35" s="18"/>
    </row>
    <row r="36" spans="2:8" ht="15.75" thickBot="1" x14ac:dyDescent="0.3">
      <c r="B36" s="19" t="s">
        <v>30</v>
      </c>
      <c r="C36" s="23">
        <f>C13+C14+C15+C17+C18+C19+C20+C22+C23+C24+C25+C27+C28+C30+C32+C35+C33+C34</f>
        <v>0</v>
      </c>
      <c r="D36" s="24">
        <f>D13+D14+D15+D17+D18+D19+D20+D22+D23+D24+D25+D27+D28+D30+D32+D35+D33+D34</f>
        <v>0</v>
      </c>
      <c r="E36" s="24">
        <f t="shared" ref="D36:F36" si="0">E13+E14+E15+E17+E18+E19+E20+E22+E23+E24+E25+E27+E28+E30+E32+E35+E33+E34</f>
        <v>0</v>
      </c>
      <c r="F36" s="25">
        <f t="shared" si="0"/>
        <v>0</v>
      </c>
      <c r="G36" s="6"/>
      <c r="H36" s="6"/>
    </row>
    <row r="37" spans="2:8" ht="15.75" thickBot="1" x14ac:dyDescent="0.3">
      <c r="B37" s="19" t="s">
        <v>31</v>
      </c>
      <c r="C37" s="26" t="e">
        <f>AVERAGE(C13:C35)</f>
        <v>#DIV/0!</v>
      </c>
      <c r="D37" s="26" t="e">
        <f t="shared" ref="D37:F37" si="1">AVERAGE(D13:D35)</f>
        <v>#DIV/0!</v>
      </c>
      <c r="E37" s="26" t="e">
        <f t="shared" si="1"/>
        <v>#DIV/0!</v>
      </c>
      <c r="F37" s="26" t="e">
        <f t="shared" si="1"/>
        <v>#DIV/0!</v>
      </c>
      <c r="G37" s="6"/>
      <c r="H37" s="7" t="s">
        <v>18</v>
      </c>
    </row>
    <row r="38" spans="2:8" ht="15.75" thickBot="1" x14ac:dyDescent="0.3">
      <c r="B38" s="20" t="s">
        <v>25</v>
      </c>
      <c r="C38" s="27" t="e">
        <f>IF(F36&gt;0,AVERAGE(C37:F37),IF(E36&gt;0,AVERAGE(C37:E37),IF(D36&gt;0,AVERAGE(C37:D37),C37)))</f>
        <v>#DIV/0!</v>
      </c>
      <c r="D38" s="21"/>
      <c r="E38" s="21"/>
      <c r="F38" s="21"/>
    </row>
    <row r="39" spans="2:8" ht="15.75" x14ac:dyDescent="0.25">
      <c r="B39" s="22" t="s">
        <v>17</v>
      </c>
      <c r="C39" s="21"/>
      <c r="D39" s="21"/>
      <c r="E39" s="21"/>
      <c r="F39" s="21"/>
    </row>
    <row r="40" spans="2:8" ht="15.75" x14ac:dyDescent="0.25">
      <c r="B40" s="9" t="s">
        <v>28</v>
      </c>
    </row>
    <row r="41" spans="2:8" ht="15.75" x14ac:dyDescent="0.25">
      <c r="B41" s="9" t="s">
        <v>29</v>
      </c>
    </row>
    <row r="42" spans="2:8" ht="30" customHeight="1" x14ac:dyDescent="0.25">
      <c r="B42" s="1" t="s">
        <v>10</v>
      </c>
    </row>
    <row r="43" spans="2:8" ht="15.75" x14ac:dyDescent="0.25">
      <c r="B43" s="10" t="s">
        <v>26</v>
      </c>
      <c r="C43" s="9"/>
      <c r="D43" s="9"/>
    </row>
    <row r="44" spans="2:8" ht="30" customHeight="1" x14ac:dyDescent="0.25">
      <c r="B44" s="1" t="s">
        <v>10</v>
      </c>
    </row>
    <row r="45" spans="2:8" ht="15.75" x14ac:dyDescent="0.25">
      <c r="B45" s="10" t="s">
        <v>47</v>
      </c>
      <c r="C45" s="9"/>
      <c r="D45" s="9"/>
    </row>
    <row r="46" spans="2:8" ht="14.45" customHeight="1" x14ac:dyDescent="0.25">
      <c r="B46" s="1"/>
    </row>
    <row r="47" spans="2:8" x14ac:dyDescent="0.25">
      <c r="B47" s="1"/>
    </row>
    <row r="48" spans="2:8" ht="18.75" x14ac:dyDescent="0.3">
      <c r="B48" s="11" t="s">
        <v>48</v>
      </c>
    </row>
  </sheetData>
  <mergeCells count="15">
    <mergeCell ref="E7:F7"/>
    <mergeCell ref="B7:D7"/>
    <mergeCell ref="B31:F31"/>
    <mergeCell ref="B8:F8"/>
    <mergeCell ref="B9:F9"/>
    <mergeCell ref="B29:F29"/>
    <mergeCell ref="B21:F21"/>
    <mergeCell ref="B12:F12"/>
    <mergeCell ref="B26:F26"/>
    <mergeCell ref="B1:F1"/>
    <mergeCell ref="B2:E2"/>
    <mergeCell ref="B3:E3"/>
    <mergeCell ref="B4:E4"/>
    <mergeCell ref="B6:E6"/>
    <mergeCell ref="B5:E5"/>
  </mergeCells>
  <pageMargins left="0.9055118110236221" right="0.11811023622047245" top="0.35433070866141736" bottom="0.35433070866141736" header="0.31496062992125984" footer="0.31496062992125984"/>
  <pageSetup scale="6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3A84-847C-4F95-A895-C00B8B8C51B1}">
  <sheetPr>
    <outlinePr summaryBelow="0" summaryRight="0"/>
  </sheetPr>
  <dimension ref="B1:I991"/>
  <sheetViews>
    <sheetView showGridLines="0" topLeftCell="A7" workbookViewId="0">
      <selection activeCell="E14" sqref="E14"/>
    </sheetView>
  </sheetViews>
  <sheetFormatPr baseColWidth="10" defaultColWidth="14.42578125" defaultRowHeight="15" customHeight="1" x14ac:dyDescent="0.25"/>
  <cols>
    <col min="2" max="2" width="39.140625" customWidth="1"/>
    <col min="3" max="3" width="7.7109375" customWidth="1"/>
    <col min="4" max="4" width="15.140625" customWidth="1"/>
    <col min="5" max="5" width="14.28515625" customWidth="1"/>
    <col min="6" max="6" width="13.28515625" customWidth="1"/>
    <col min="7" max="7" width="15.7109375" customWidth="1"/>
    <col min="8" max="8" width="12.7109375" customWidth="1"/>
    <col min="9" max="9" width="27.28515625" customWidth="1"/>
  </cols>
  <sheetData>
    <row r="1" spans="2:9" ht="27" customHeight="1" x14ac:dyDescent="0.25">
      <c r="B1" s="50"/>
      <c r="C1" s="50"/>
      <c r="D1" s="50"/>
      <c r="E1" s="50"/>
      <c r="F1" s="50"/>
      <c r="G1" s="50"/>
      <c r="H1" s="50"/>
      <c r="I1" s="49"/>
    </row>
    <row r="2" spans="2:9" ht="24.75" customHeight="1" x14ac:dyDescent="0.25">
      <c r="B2" s="79"/>
      <c r="C2" s="79"/>
      <c r="D2" s="79"/>
      <c r="E2" s="79"/>
      <c r="F2" s="79"/>
      <c r="G2" s="79"/>
      <c r="H2" s="79"/>
      <c r="I2" s="78"/>
    </row>
    <row r="3" spans="2:9" ht="27" customHeight="1" x14ac:dyDescent="0.25">
      <c r="B3" s="77"/>
      <c r="C3" s="77"/>
      <c r="D3" s="77"/>
      <c r="E3" s="77"/>
      <c r="F3" s="77"/>
      <c r="G3" s="77"/>
      <c r="H3" s="77"/>
      <c r="I3" s="64"/>
    </row>
    <row r="4" spans="2:9" ht="48.75" customHeight="1" x14ac:dyDescent="0.25">
      <c r="B4" s="75"/>
      <c r="C4" s="75"/>
      <c r="D4" s="75"/>
      <c r="E4" s="75"/>
      <c r="F4" s="75"/>
      <c r="G4" s="75"/>
      <c r="H4" s="75"/>
      <c r="I4" s="74"/>
    </row>
    <row r="5" spans="2:9" ht="59.25" customHeight="1" x14ac:dyDescent="0.25">
      <c r="B5" s="76"/>
      <c r="C5" s="75"/>
      <c r="D5" s="75"/>
      <c r="E5" s="75"/>
      <c r="F5" s="75"/>
      <c r="G5" s="75"/>
      <c r="H5" s="75"/>
      <c r="I5" s="74"/>
    </row>
    <row r="6" spans="2:9" ht="21.75" customHeight="1" x14ac:dyDescent="0.25">
      <c r="B6" s="73"/>
      <c r="C6" s="50"/>
      <c r="D6" s="50"/>
      <c r="E6" s="50"/>
      <c r="F6" s="50"/>
      <c r="G6" s="50"/>
      <c r="H6" s="50"/>
      <c r="I6" s="49"/>
    </row>
    <row r="7" spans="2:9" ht="15.75" x14ac:dyDescent="0.25">
      <c r="B7" s="72"/>
      <c r="C7" s="70"/>
      <c r="D7" s="70"/>
      <c r="E7" s="70"/>
      <c r="F7" s="70"/>
      <c r="G7" s="70"/>
      <c r="H7" s="70"/>
      <c r="I7" s="70"/>
    </row>
    <row r="8" spans="2:9" ht="18.75" customHeight="1" x14ac:dyDescent="0.25">
      <c r="B8" s="71"/>
      <c r="C8" s="70"/>
      <c r="D8" s="70"/>
      <c r="E8" s="70"/>
      <c r="F8" s="70"/>
      <c r="G8" s="70"/>
      <c r="H8" s="70"/>
      <c r="I8" s="70"/>
    </row>
    <row r="9" spans="2:9" ht="28.5" customHeight="1" x14ac:dyDescent="0.25">
      <c r="B9" s="68" t="s">
        <v>63</v>
      </c>
      <c r="C9" s="69" t="s">
        <v>62</v>
      </c>
      <c r="D9" s="68" t="s">
        <v>61</v>
      </c>
      <c r="E9" s="65"/>
      <c r="F9" s="65"/>
      <c r="G9" s="65"/>
      <c r="H9" s="67" t="s">
        <v>60</v>
      </c>
      <c r="I9" s="66" t="s">
        <v>59</v>
      </c>
    </row>
    <row r="10" spans="2:9" ht="57" customHeight="1" x14ac:dyDescent="0.25">
      <c r="B10" s="65"/>
      <c r="C10" s="64"/>
      <c r="D10" s="63" t="s">
        <v>58</v>
      </c>
      <c r="E10" s="62" t="s">
        <v>57</v>
      </c>
      <c r="F10" s="61" t="s">
        <v>56</v>
      </c>
      <c r="G10" s="60" t="s">
        <v>55</v>
      </c>
      <c r="H10" s="59" t="s">
        <v>54</v>
      </c>
      <c r="I10" s="58" t="s">
        <v>53</v>
      </c>
    </row>
    <row r="11" spans="2:9" ht="87.75" customHeight="1" x14ac:dyDescent="0.25">
      <c r="B11" s="57" t="s">
        <v>52</v>
      </c>
      <c r="C11" s="54">
        <v>0.25</v>
      </c>
      <c r="D11" s="53"/>
      <c r="E11" s="53"/>
      <c r="F11" s="53"/>
      <c r="G11" s="53"/>
      <c r="H11" s="52">
        <f>SUM(D11:G11)*(C11)</f>
        <v>0</v>
      </c>
      <c r="I11" s="51"/>
    </row>
    <row r="12" spans="2:9" ht="87.75" customHeight="1" x14ac:dyDescent="0.25">
      <c r="B12" s="56" t="s">
        <v>51</v>
      </c>
      <c r="C12" s="54">
        <v>0.25</v>
      </c>
      <c r="D12" s="53"/>
      <c r="E12" s="53"/>
      <c r="F12" s="53"/>
      <c r="G12" s="53"/>
      <c r="H12" s="52">
        <f>SUM(D12:G12)*(C12)</f>
        <v>0</v>
      </c>
      <c r="I12" s="51"/>
    </row>
    <row r="13" spans="2:9" ht="87.75" customHeight="1" x14ac:dyDescent="0.25">
      <c r="B13" s="56" t="s">
        <v>50</v>
      </c>
      <c r="C13" s="54">
        <v>0.25</v>
      </c>
      <c r="D13" s="53"/>
      <c r="E13" s="53"/>
      <c r="F13" s="53"/>
      <c r="G13" s="53"/>
      <c r="H13" s="52">
        <f>SUM(D13:G13)*(C13)</f>
        <v>0</v>
      </c>
      <c r="I13" s="51"/>
    </row>
    <row r="14" spans="2:9" ht="87.75" customHeight="1" x14ac:dyDescent="0.25">
      <c r="B14" s="55" t="s">
        <v>49</v>
      </c>
      <c r="C14" s="54">
        <v>0.25</v>
      </c>
      <c r="D14" s="53"/>
      <c r="E14" s="53"/>
      <c r="F14" s="53"/>
      <c r="G14" s="53"/>
      <c r="H14" s="52">
        <f>SUM(D14:G14)*(C14)</f>
        <v>0</v>
      </c>
      <c r="I14" s="51"/>
    </row>
    <row r="15" spans="2:9" x14ac:dyDescent="0.25">
      <c r="B15" s="50"/>
      <c r="C15" s="50"/>
      <c r="D15" s="50"/>
      <c r="E15" s="50"/>
      <c r="F15" s="50"/>
      <c r="G15" s="49"/>
      <c r="H15" s="48">
        <f>SUM(H11:H14)</f>
        <v>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10">
    <mergeCell ref="B15:G15"/>
    <mergeCell ref="B1:I3"/>
    <mergeCell ref="B4:I4"/>
    <mergeCell ref="B5:I5"/>
    <mergeCell ref="B6:I6"/>
    <mergeCell ref="B7:I7"/>
    <mergeCell ref="B8:I8"/>
    <mergeCell ref="B9:B10"/>
    <mergeCell ref="C9:C10"/>
    <mergeCell ref="D9:G9"/>
  </mergeCells>
  <conditionalFormatting sqref="H15">
    <cfRule type="cellIs" dxfId="3" priority="1" operator="between">
      <formula>0</formula>
      <formula>1.99</formula>
    </cfRule>
    <cfRule type="cellIs" dxfId="2" priority="2" operator="between">
      <formula>2</formula>
      <formula>2.99</formula>
    </cfRule>
    <cfRule type="cellIs" dxfId="1" priority="3" operator="between">
      <formula>3</formula>
      <formula>3.99</formula>
    </cfRule>
    <cfRule type="cellIs" dxfId="0" priority="4" operator="between">
      <formula>4</formula>
      <formula>5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Rubrica SENA</vt:lpstr>
      <vt:lpstr>Propuesta ADSO</vt:lpstr>
      <vt:lpstr>'Rubrica SENA'!Área_de_impresión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</dc:creator>
  <cp:lastModifiedBy>Hernan Henao</cp:lastModifiedBy>
  <cp:lastPrinted>2025-12-10T14:40:57Z</cp:lastPrinted>
  <dcterms:created xsi:type="dcterms:W3CDTF">2017-12-11T13:52:40Z</dcterms:created>
  <dcterms:modified xsi:type="dcterms:W3CDTF">2026-09-09T14:37:25Z</dcterms:modified>
</cp:coreProperties>
</file>